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13_ncr:1_{4824D056-31AB-4943-87E4-C748C80C7BA7}" xr6:coauthVersionLast="47" xr6:coauthVersionMax="47" xr10:uidLastSave="{00000000-0000-0000-0000-000000000000}"/>
  <bookViews>
    <workbookView xWindow="120" yWindow="75" windowWidth="20490" windowHeight="11520" xr2:uid="{119458A0-7454-4995-9560-D9DD3AB7EEC5}"/>
  </bookViews>
  <sheets>
    <sheet name="student record" sheetId="1" r:id="rId1"/>
    <sheet name="Sheet1" sheetId="2" r:id="rId2"/>
  </sheets>
  <definedNames>
    <definedName name="_xlnm._FilterDatabase" localSheetId="0" hidden="1">'student record'!$A$1:$I$11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1" l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K13" i="1" l="1"/>
  <c r="J13" i="1"/>
</calcChain>
</file>

<file path=xl/sharedStrings.xml><?xml version="1.0" encoding="utf-8"?>
<sst xmlns="http://schemas.openxmlformats.org/spreadsheetml/2006/main" count="41" uniqueCount="40">
  <si>
    <t>StudentID</t>
  </si>
  <si>
    <t>Name</t>
  </si>
  <si>
    <t>Age</t>
  </si>
  <si>
    <t>Course</t>
  </si>
  <si>
    <t>Test1</t>
  </si>
  <si>
    <t>Test2</t>
  </si>
  <si>
    <t>Test3</t>
  </si>
  <si>
    <t>S001</t>
  </si>
  <si>
    <t>Arjun Kumar</t>
  </si>
  <si>
    <t>Computer Science</t>
  </si>
  <si>
    <t>S002</t>
  </si>
  <si>
    <t>Priya Singh</t>
  </si>
  <si>
    <t>Data Analytics</t>
  </si>
  <si>
    <t>S003</t>
  </si>
  <si>
    <t>Rahul Das</t>
  </si>
  <si>
    <t>S004</t>
  </si>
  <si>
    <t>Business Admin</t>
  </si>
  <si>
    <t>S005</t>
  </si>
  <si>
    <t>Karan Patel</t>
  </si>
  <si>
    <t>S006</t>
  </si>
  <si>
    <t>Meera Nair</t>
  </si>
  <si>
    <t>S007</t>
  </si>
  <si>
    <t>Vikram Rao</t>
  </si>
  <si>
    <t>S008</t>
  </si>
  <si>
    <t>Ananya Roy</t>
  </si>
  <si>
    <t>S009</t>
  </si>
  <si>
    <t>S010</t>
  </si>
  <si>
    <t>Pradeep</t>
  </si>
  <si>
    <t>Dharshini</t>
  </si>
  <si>
    <t>Python</t>
  </si>
  <si>
    <t>Sql</t>
  </si>
  <si>
    <t>Fullstack Developer</t>
  </si>
  <si>
    <t>Digital Marketing</t>
  </si>
  <si>
    <t>Web Developer</t>
  </si>
  <si>
    <t>Cloud Computing</t>
  </si>
  <si>
    <t>Total</t>
  </si>
  <si>
    <t>Average</t>
  </si>
  <si>
    <t>MAX</t>
  </si>
  <si>
    <t>MIN</t>
  </si>
  <si>
    <t>Rajmohan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</si>
</sst>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12C4-A273-43B1-BDC2-0E3902A4BEB2}">
  <dimension ref="A1:K13"/>
  <sheetViews>
    <sheetView tabSelected="1" workbookViewId="0">
      <selection activeCell="D14" sqref="D14"/>
    </sheetView>
  </sheetViews>
  <sheetFormatPr defaultRowHeight="15" x14ac:dyDescent="0.25"/>
  <cols>
    <col min="1" max="1" width="15.28515625" customWidth="1"/>
    <col min="2" max="2" width="17" customWidth="1"/>
    <col min="3" max="3" width="10" customWidth="1"/>
    <col min="4" max="4" width="20.7109375" customWidth="1"/>
    <col min="5" max="7" width="11.42578125" customWidth="1"/>
    <col min="8" max="8" width="12.140625" customWidth="1"/>
    <col min="9" max="9" width="12.85546875" customWidth="1"/>
    <col min="10" max="10" width="12.42578125" customWidth="1"/>
    <col min="11" max="11" width="13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35</v>
      </c>
      <c r="I1" s="3" t="s">
        <v>36</v>
      </c>
      <c r="J1" s="4" t="s">
        <v>37</v>
      </c>
      <c r="K1" s="4" t="s">
        <v>38</v>
      </c>
    </row>
    <row r="2" spans="1:11" ht="21" customHeight="1" x14ac:dyDescent="0.25">
      <c r="A2" s="1" t="s">
        <v>7</v>
      </c>
      <c r="B2" s="2" t="s">
        <v>8</v>
      </c>
      <c r="C2" s="2">
        <v>20</v>
      </c>
      <c r="D2" s="2" t="s">
        <v>31</v>
      </c>
      <c r="E2" s="2">
        <v>78</v>
      </c>
      <c r="F2" s="2">
        <v>85</v>
      </c>
      <c r="G2" s="2">
        <v>90</v>
      </c>
      <c r="H2" s="5">
        <f>SUM(E2,F2,G2)</f>
        <v>253</v>
      </c>
      <c r="I2" s="5">
        <f>AVERAGE(E2,F2,G2)</f>
        <v>84.333333333333329</v>
      </c>
    </row>
    <row r="3" spans="1:11" x14ac:dyDescent="0.25">
      <c r="A3" s="1" t="s">
        <v>10</v>
      </c>
      <c r="B3" s="2" t="s">
        <v>11</v>
      </c>
      <c r="C3" s="2">
        <v>19</v>
      </c>
      <c r="D3" s="2" t="s">
        <v>12</v>
      </c>
      <c r="E3" s="2">
        <v>88</v>
      </c>
      <c r="F3" s="2">
        <v>92</v>
      </c>
      <c r="G3" s="2">
        <v>84</v>
      </c>
      <c r="H3" s="5">
        <f>SUM(E3,F3,G3)</f>
        <v>264</v>
      </c>
      <c r="I3" s="5">
        <f>AVERAGE(E3,F3,G3)</f>
        <v>88</v>
      </c>
    </row>
    <row r="4" spans="1:11" ht="18.75" customHeight="1" x14ac:dyDescent="0.25">
      <c r="A4" s="1" t="s">
        <v>13</v>
      </c>
      <c r="B4" s="2" t="s">
        <v>14</v>
      </c>
      <c r="C4" s="2">
        <v>21</v>
      </c>
      <c r="D4" s="2" t="s">
        <v>32</v>
      </c>
      <c r="E4" s="2">
        <v>65</v>
      </c>
      <c r="F4" s="2">
        <v>70</v>
      </c>
      <c r="G4" s="2">
        <v>75</v>
      </c>
      <c r="H4" s="5">
        <f>SUM(E4,F4,G4)</f>
        <v>210</v>
      </c>
      <c r="I4" s="5">
        <f>AVERAGE(E4,F4,G4)</f>
        <v>70</v>
      </c>
    </row>
    <row r="5" spans="1:11" x14ac:dyDescent="0.25">
      <c r="A5" s="1" t="s">
        <v>15</v>
      </c>
      <c r="B5" s="2" t="s">
        <v>39</v>
      </c>
      <c r="C5" s="2">
        <v>20</v>
      </c>
      <c r="D5" s="2" t="s">
        <v>16</v>
      </c>
      <c r="E5" s="2">
        <v>80</v>
      </c>
      <c r="F5" s="2">
        <v>76</v>
      </c>
      <c r="G5" s="2">
        <v>82</v>
      </c>
      <c r="H5" s="5">
        <f>SUM(E5,F5,G5)</f>
        <v>238</v>
      </c>
      <c r="I5" s="5">
        <f>AVERAGE(E5,F5,G5)</f>
        <v>79.333333333333329</v>
      </c>
    </row>
    <row r="6" spans="1:11" ht="19.5" customHeight="1" x14ac:dyDescent="0.25">
      <c r="A6" s="1" t="s">
        <v>17</v>
      </c>
      <c r="B6" s="2" t="s">
        <v>18</v>
      </c>
      <c r="C6" s="2">
        <v>22</v>
      </c>
      <c r="D6" s="2" t="s">
        <v>9</v>
      </c>
      <c r="E6" s="2">
        <v>91</v>
      </c>
      <c r="F6" s="2">
        <v>89</v>
      </c>
      <c r="G6" s="2">
        <v>95</v>
      </c>
      <c r="H6" s="5">
        <f>SUM(E6,F6,G6)</f>
        <v>275</v>
      </c>
      <c r="I6" s="5">
        <f>AVERAGE(E6,F6,G6)</f>
        <v>91.666666666666671</v>
      </c>
    </row>
    <row r="7" spans="1:11" x14ac:dyDescent="0.25">
      <c r="A7" s="1" t="s">
        <v>19</v>
      </c>
      <c r="B7" s="2" t="s">
        <v>20</v>
      </c>
      <c r="C7" s="2">
        <v>19</v>
      </c>
      <c r="D7" s="2" t="s">
        <v>12</v>
      </c>
      <c r="E7" s="2">
        <v>72</v>
      </c>
      <c r="F7" s="2">
        <v>78</v>
      </c>
      <c r="G7" s="2">
        <v>85</v>
      </c>
      <c r="H7" s="5">
        <f>SUM(E7,F7,G7)</f>
        <v>235</v>
      </c>
      <c r="I7" s="5">
        <f>AVERAGE(E7,F7,G7)</f>
        <v>78.333333333333329</v>
      </c>
    </row>
    <row r="8" spans="1:11" ht="18" customHeight="1" x14ac:dyDescent="0.25">
      <c r="A8" s="1" t="s">
        <v>21</v>
      </c>
      <c r="B8" s="2" t="s">
        <v>22</v>
      </c>
      <c r="C8" s="2">
        <v>21</v>
      </c>
      <c r="D8" s="2" t="s">
        <v>33</v>
      </c>
      <c r="E8" s="2">
        <v>55</v>
      </c>
      <c r="F8" s="2">
        <v>68</v>
      </c>
      <c r="G8" s="2">
        <v>70</v>
      </c>
      <c r="H8" s="5">
        <f>SUM(E8,F8,G8)</f>
        <v>193</v>
      </c>
      <c r="I8" s="5">
        <f>AVERAGE(E8,F8,G8)</f>
        <v>64.333333333333329</v>
      </c>
    </row>
    <row r="9" spans="1:11" x14ac:dyDescent="0.25">
      <c r="A9" s="1" t="s">
        <v>23</v>
      </c>
      <c r="B9" s="2" t="s">
        <v>24</v>
      </c>
      <c r="C9" s="2">
        <v>20</v>
      </c>
      <c r="D9" s="2" t="s">
        <v>34</v>
      </c>
      <c r="E9" s="2">
        <v>85</v>
      </c>
      <c r="F9" s="2">
        <v>88</v>
      </c>
      <c r="G9" s="2">
        <v>90</v>
      </c>
      <c r="H9" s="5">
        <f>SUM(E9,F9,G9)</f>
        <v>263</v>
      </c>
      <c r="I9" s="5">
        <f>AVERAGE(E9,F9,G9)</f>
        <v>87.666666666666671</v>
      </c>
    </row>
    <row r="10" spans="1:11" x14ac:dyDescent="0.25">
      <c r="A10" s="1" t="s">
        <v>25</v>
      </c>
      <c r="B10" s="2" t="s">
        <v>27</v>
      </c>
      <c r="C10" s="2">
        <v>25</v>
      </c>
      <c r="D10" s="2" t="s">
        <v>29</v>
      </c>
      <c r="E10" s="2">
        <v>75</v>
      </c>
      <c r="F10" s="2">
        <v>87</v>
      </c>
      <c r="G10" s="2">
        <v>54</v>
      </c>
      <c r="H10" s="5">
        <f>SUM(E10,F10,G10)</f>
        <v>216</v>
      </c>
      <c r="I10" s="5">
        <f>AVERAGE(E10,F10,G10)</f>
        <v>72</v>
      </c>
    </row>
    <row r="11" spans="1:11" x14ac:dyDescent="0.25">
      <c r="A11" s="1" t="s">
        <v>26</v>
      </c>
      <c r="B11" s="2" t="s">
        <v>28</v>
      </c>
      <c r="C11" s="2">
        <v>23</v>
      </c>
      <c r="D11" s="2" t="s">
        <v>30</v>
      </c>
      <c r="E11" s="2">
        <v>67</v>
      </c>
      <c r="F11" s="2">
        <v>75</v>
      </c>
      <c r="G11" s="2">
        <v>63</v>
      </c>
      <c r="H11" s="5">
        <f>SUM(E11,F11,G11)</f>
        <v>205</v>
      </c>
      <c r="I11" s="5">
        <f>AVERAGE(E11,F11,G11)</f>
        <v>68.333333333333329</v>
      </c>
    </row>
    <row r="13" spans="1:11" x14ac:dyDescent="0.25">
      <c r="A13">
        <f>COUNTA(A2:A11)</f>
        <v>10</v>
      </c>
      <c r="J13" s="6">
        <f>MAX(I2:I11)</f>
        <v>91.666666666666671</v>
      </c>
      <c r="K13" s="6">
        <f>MIN(I2:I11)</f>
        <v>64.333333333333329</v>
      </c>
    </row>
  </sheetData>
  <autoFilter ref="A1:I11" xr:uid="{F92C12C4-A273-43B1-BDC2-0E3902A4BEB2}">
    <sortState xmlns:xlrd2="http://schemas.microsoft.com/office/spreadsheetml/2017/richdata2" ref="A2:I11">
      <sortCondition ref="A1:A11"/>
    </sortState>
  </autoFilter>
  <sortState xmlns:xlrd2="http://schemas.microsoft.com/office/spreadsheetml/2017/richdata2" ref="A2:K11">
    <sortCondition ref="B10:B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C8A1-E37E-48B5-A0A2-86947F4D9A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record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S0344477</dc:creator>
  <cp:lastModifiedBy>S0344477</cp:lastModifiedBy>
  <dcterms:created xsi:type="dcterms:W3CDTF">2026-06-18T14:06:29Z</dcterms:created>
  <dcterms:modified xsi:type="dcterms:W3CDTF">2026-06-18T18:06:49Z</dcterms:modified>
</cp:coreProperties>
</file>